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filterPrivacy="1" defaultThemeVersion="124226"/>
  <xr:revisionPtr revIDLastSave="0" documentId="13_ncr:1_{2AF00295-37D0-4E13-AD19-5AEFF1F05686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输出电压采样矫正" sheetId="2" r:id="rId1"/>
    <sheet name="输入电压采样矫正" sheetId="5" r:id="rId2"/>
  </sheets>
  <calcPr calcId="191029"/>
</workbook>
</file>

<file path=xl/calcChain.xml><?xml version="1.0" encoding="utf-8"?>
<calcChain xmlns="http://schemas.openxmlformats.org/spreadsheetml/2006/main">
  <c r="I23" i="5" l="1"/>
  <c r="I22" i="5"/>
  <c r="I23" i="2"/>
  <c r="I22" i="2"/>
</calcChain>
</file>

<file path=xl/sharedStrings.xml><?xml version="1.0" encoding="utf-8"?>
<sst xmlns="http://schemas.openxmlformats.org/spreadsheetml/2006/main" count="16" uniqueCount="10">
  <si>
    <t>实际值</t>
    <phoneticPr fontId="1" type="noConversion"/>
  </si>
  <si>
    <t>转换数字量/Q12</t>
    <phoneticPr fontId="1" type="noConversion"/>
  </si>
  <si>
    <t>运行工况：工作于BUCK模式下，输入电压从10V到40V</t>
    <phoneticPr fontId="1" type="noConversion"/>
  </si>
  <si>
    <t>在控制中用Q12的数字量表示</t>
    <phoneticPr fontId="1" type="noConversion"/>
  </si>
  <si>
    <t>1.222V转换成采样数字量</t>
    <phoneticPr fontId="1" type="noConversion"/>
  </si>
  <si>
    <t>实际测量电压</t>
    <phoneticPr fontId="1" type="noConversion"/>
  </si>
  <si>
    <t>读取电压（显示屏）</t>
    <phoneticPr fontId="1" type="noConversion"/>
  </si>
  <si>
    <t>使用Excel自带的线性拟（趋势线）合功能</t>
    <phoneticPr fontId="1" type="noConversion"/>
  </si>
  <si>
    <t>运行工况：输入48V，输出电流0A，工作于BUCK模式下，输出电压从5V到40V</t>
    <phoneticPr fontId="1" type="noConversion"/>
  </si>
  <si>
    <t>0.806V转换成采样数字量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</si>
</sst>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输出电压采样矫正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输出电压采样矫正!$D$11:$D$18</c:f>
              <c:numCache>
                <c:formatCode>General</c:formatCode>
                <c:ptCount val="8"/>
                <c:pt idx="0">
                  <c:v>5.27</c:v>
                </c:pt>
                <c:pt idx="1">
                  <c:v>10.49</c:v>
                </c:pt>
                <c:pt idx="2">
                  <c:v>15.02</c:v>
                </c:pt>
                <c:pt idx="3">
                  <c:v>20.7</c:v>
                </c:pt>
                <c:pt idx="4">
                  <c:v>25.25</c:v>
                </c:pt>
                <c:pt idx="5">
                  <c:v>29.96</c:v>
                </c:pt>
                <c:pt idx="6">
                  <c:v>34.36</c:v>
                </c:pt>
                <c:pt idx="7">
                  <c:v>39.57</c:v>
                </c:pt>
              </c:numCache>
            </c:numRef>
          </c:xVal>
          <c:yVal>
            <c:numRef>
              <c:f>输出电压采样矫正!$E$11:$E$18</c:f>
              <c:numCache>
                <c:formatCode>General</c:formatCode>
                <c:ptCount val="8"/>
                <c:pt idx="0">
                  <c:v>6.23</c:v>
                </c:pt>
                <c:pt idx="1">
                  <c:v>11.41</c:v>
                </c:pt>
                <c:pt idx="2">
                  <c:v>15.86</c:v>
                </c:pt>
                <c:pt idx="3">
                  <c:v>21.5</c:v>
                </c:pt>
                <c:pt idx="4">
                  <c:v>26.04</c:v>
                </c:pt>
                <c:pt idx="5">
                  <c:v>30.73</c:v>
                </c:pt>
                <c:pt idx="6">
                  <c:v>35.119999999999997</c:v>
                </c:pt>
                <c:pt idx="7">
                  <c:v>40.28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8D-493E-B87C-5163D7CFF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90016"/>
        <c:axId val="154185120"/>
      </c:scatterChart>
      <c:valAx>
        <c:axId val="15419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185120"/>
        <c:crosses val="autoZero"/>
        <c:crossBetween val="midCat"/>
      </c:valAx>
      <c:valAx>
        <c:axId val="15418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190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输入电压采样矫正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输入电压采样矫正!$D$11:$D$17</c:f>
              <c:numCache>
                <c:formatCode>General</c:formatCode>
                <c:ptCount val="7"/>
                <c:pt idx="0">
                  <c:v>9.4</c:v>
                </c:pt>
                <c:pt idx="1">
                  <c:v>14.31</c:v>
                </c:pt>
                <c:pt idx="2">
                  <c:v>19.72</c:v>
                </c:pt>
                <c:pt idx="3">
                  <c:v>24.8</c:v>
                </c:pt>
                <c:pt idx="4">
                  <c:v>29.48</c:v>
                </c:pt>
                <c:pt idx="5">
                  <c:v>34.78</c:v>
                </c:pt>
                <c:pt idx="6">
                  <c:v>39.04</c:v>
                </c:pt>
              </c:numCache>
            </c:numRef>
          </c:xVal>
          <c:yVal>
            <c:numRef>
              <c:f>输入电压采样矫正!$E$11:$E$17</c:f>
              <c:numCache>
                <c:formatCode>General</c:formatCode>
                <c:ptCount val="7"/>
                <c:pt idx="0">
                  <c:v>10.199999999999999</c:v>
                </c:pt>
                <c:pt idx="1">
                  <c:v>15.1</c:v>
                </c:pt>
                <c:pt idx="2">
                  <c:v>20.6</c:v>
                </c:pt>
                <c:pt idx="3">
                  <c:v>25.7</c:v>
                </c:pt>
                <c:pt idx="4">
                  <c:v>30.3</c:v>
                </c:pt>
                <c:pt idx="5">
                  <c:v>35.6</c:v>
                </c:pt>
                <c:pt idx="6">
                  <c:v>39.9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88-4FF0-974B-C50893BAF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88928"/>
        <c:axId val="154186752"/>
      </c:scatterChart>
      <c:valAx>
        <c:axId val="15418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186752"/>
        <c:crosses val="autoZero"/>
        <c:crossBetween val="midCat"/>
      </c:valAx>
      <c:valAx>
        <c:axId val="1541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18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19</xdr:row>
      <xdr:rowOff>33337</xdr:rowOff>
    </xdr:from>
    <xdr:to>
      <xdr:col>6</xdr:col>
      <xdr:colOff>180975</xdr:colOff>
      <xdr:row>35</xdr:row>
      <xdr:rowOff>33337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19</xdr:row>
      <xdr:rowOff>33337</xdr:rowOff>
    </xdr:from>
    <xdr:to>
      <xdr:col>6</xdr:col>
      <xdr:colOff>180975</xdr:colOff>
      <xdr:row>35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K23"/>
  <sheetViews>
    <sheetView showGridLines="0" topLeftCell="A10" workbookViewId="0">
      <selection activeCell="H39" sqref="H38:H39"/>
    </sheetView>
  </sheetViews>
  <sheetFormatPr defaultRowHeight="14.4" x14ac:dyDescent="0.25"/>
  <cols>
    <col min="3" max="3" width="6.44140625" customWidth="1"/>
    <col min="4" max="4" width="20" customWidth="1"/>
    <col min="5" max="5" width="17.6640625" customWidth="1"/>
    <col min="6" max="6" width="13.44140625" customWidth="1"/>
    <col min="10" max="10" width="10.44140625" bestFit="1" customWidth="1"/>
  </cols>
  <sheetData>
    <row r="7" spans="3:10" x14ac:dyDescent="0.25">
      <c r="C7" s="8" t="s">
        <v>8</v>
      </c>
      <c r="D7" s="8"/>
      <c r="E7" s="8"/>
      <c r="F7" s="8"/>
      <c r="G7" s="8"/>
      <c r="H7" s="8"/>
      <c r="I7" s="8"/>
      <c r="J7" s="8"/>
    </row>
    <row r="10" spans="3:10" x14ac:dyDescent="0.25">
      <c r="D10" s="3" t="s">
        <v>6</v>
      </c>
      <c r="E10" s="3" t="s">
        <v>5</v>
      </c>
    </row>
    <row r="11" spans="3:10" x14ac:dyDescent="0.25">
      <c r="D11" s="1">
        <v>5.27</v>
      </c>
      <c r="E11" s="1">
        <v>6.23</v>
      </c>
    </row>
    <row r="12" spans="3:10" x14ac:dyDescent="0.25">
      <c r="D12" s="1">
        <v>10.49</v>
      </c>
      <c r="E12" s="1">
        <v>11.41</v>
      </c>
    </row>
    <row r="13" spans="3:10" x14ac:dyDescent="0.25">
      <c r="D13" s="1">
        <v>15.02</v>
      </c>
      <c r="E13" s="1">
        <v>15.86</v>
      </c>
    </row>
    <row r="14" spans="3:10" x14ac:dyDescent="0.25">
      <c r="D14" s="1">
        <v>20.7</v>
      </c>
      <c r="E14" s="1">
        <v>21.5</v>
      </c>
    </row>
    <row r="15" spans="3:10" x14ac:dyDescent="0.25">
      <c r="D15" s="1">
        <v>25.25</v>
      </c>
      <c r="E15" s="1">
        <v>26.04</v>
      </c>
    </row>
    <row r="16" spans="3:10" x14ac:dyDescent="0.25">
      <c r="D16" s="1">
        <v>29.96</v>
      </c>
      <c r="E16" s="1">
        <v>30.73</v>
      </c>
    </row>
    <row r="17" spans="4:11" x14ac:dyDescent="0.25">
      <c r="D17" s="1">
        <v>34.36</v>
      </c>
      <c r="E17" s="1">
        <v>35.119999999999997</v>
      </c>
    </row>
    <row r="18" spans="4:11" x14ac:dyDescent="0.25">
      <c r="D18" s="1">
        <v>39.57</v>
      </c>
      <c r="E18" s="1">
        <v>40.28</v>
      </c>
    </row>
    <row r="20" spans="4:11" x14ac:dyDescent="0.25">
      <c r="H20" t="s">
        <v>7</v>
      </c>
    </row>
    <row r="21" spans="4:11" x14ac:dyDescent="0.25">
      <c r="H21" s="3" t="s">
        <v>0</v>
      </c>
      <c r="I21" s="4" t="s">
        <v>1</v>
      </c>
      <c r="J21" s="5"/>
    </row>
    <row r="22" spans="4:11" x14ac:dyDescent="0.25">
      <c r="H22" s="2">
        <v>0.99319999999999997</v>
      </c>
      <c r="I22" s="6">
        <f>H22*2^12</f>
        <v>4068.1471999999999</v>
      </c>
      <c r="J22" s="7"/>
      <c r="K22" t="s">
        <v>3</v>
      </c>
    </row>
    <row r="23" spans="4:11" x14ac:dyDescent="0.25">
      <c r="H23" s="2">
        <v>0.97230000000000005</v>
      </c>
      <c r="I23" s="6">
        <f>H23*2^12/68</f>
        <v>58.566776470588238</v>
      </c>
      <c r="J23" s="7"/>
      <c r="K23" t="s">
        <v>4</v>
      </c>
    </row>
  </sheetData>
  <mergeCells count="4">
    <mergeCell ref="I21:J21"/>
    <mergeCell ref="I22:J22"/>
    <mergeCell ref="I23:J23"/>
    <mergeCell ref="C7:J7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7:K23"/>
  <sheetViews>
    <sheetView showGridLines="0" tabSelected="1" topLeftCell="A7" workbookViewId="0">
      <selection activeCell="I12" sqref="I12"/>
    </sheetView>
  </sheetViews>
  <sheetFormatPr defaultRowHeight="14.4" x14ac:dyDescent="0.25"/>
  <cols>
    <col min="4" max="4" width="21.44140625" customWidth="1"/>
    <col min="5" max="5" width="16.44140625" customWidth="1"/>
    <col min="6" max="6" width="13.44140625" customWidth="1"/>
    <col min="10" max="10" width="10.44140625" bestFit="1" customWidth="1"/>
  </cols>
  <sheetData>
    <row r="7" spans="3:10" x14ac:dyDescent="0.25">
      <c r="C7" s="8" t="s">
        <v>2</v>
      </c>
      <c r="D7" s="8"/>
      <c r="E7" s="8"/>
      <c r="F7" s="8"/>
      <c r="G7" s="8"/>
      <c r="H7" s="8"/>
      <c r="I7" s="8"/>
      <c r="J7" s="8"/>
    </row>
    <row r="10" spans="3:10" x14ac:dyDescent="0.25">
      <c r="D10" s="3" t="s">
        <v>6</v>
      </c>
      <c r="E10" s="3" t="s">
        <v>5</v>
      </c>
    </row>
    <row r="11" spans="3:10" x14ac:dyDescent="0.25">
      <c r="D11" s="1">
        <v>9.4</v>
      </c>
      <c r="E11" s="1">
        <v>10.199999999999999</v>
      </c>
    </row>
    <row r="12" spans="3:10" x14ac:dyDescent="0.25">
      <c r="D12" s="1">
        <v>14.31</v>
      </c>
      <c r="E12" s="1">
        <v>15.1</v>
      </c>
    </row>
    <row r="13" spans="3:10" x14ac:dyDescent="0.25">
      <c r="D13" s="1">
        <v>19.72</v>
      </c>
      <c r="E13" s="1">
        <v>20.6</v>
      </c>
    </row>
    <row r="14" spans="3:10" x14ac:dyDescent="0.25">
      <c r="D14" s="1">
        <v>24.8</v>
      </c>
      <c r="E14" s="1">
        <v>25.7</v>
      </c>
    </row>
    <row r="15" spans="3:10" x14ac:dyDescent="0.25">
      <c r="D15" s="1">
        <v>29.48</v>
      </c>
      <c r="E15" s="1">
        <v>30.3</v>
      </c>
    </row>
    <row r="16" spans="3:10" x14ac:dyDescent="0.25">
      <c r="D16" s="1">
        <v>34.78</v>
      </c>
      <c r="E16" s="1">
        <v>35.6</v>
      </c>
    </row>
    <row r="17" spans="4:11" x14ac:dyDescent="0.25">
      <c r="D17" s="1">
        <v>39.04</v>
      </c>
      <c r="E17" s="1">
        <v>39.9</v>
      </c>
    </row>
    <row r="20" spans="4:11" x14ac:dyDescent="0.25">
      <c r="H20" t="s">
        <v>7</v>
      </c>
    </row>
    <row r="21" spans="4:11" x14ac:dyDescent="0.25">
      <c r="H21" s="3" t="s">
        <v>0</v>
      </c>
      <c r="I21" s="4" t="s">
        <v>1</v>
      </c>
      <c r="J21" s="5"/>
    </row>
    <row r="22" spans="4:11" x14ac:dyDescent="0.25">
      <c r="H22" s="2">
        <v>1.0013000000000001</v>
      </c>
      <c r="I22" s="6">
        <f>H22*2^12</f>
        <v>4101.3248000000003</v>
      </c>
      <c r="J22" s="7"/>
      <c r="K22" t="s">
        <v>3</v>
      </c>
    </row>
    <row r="23" spans="4:11" x14ac:dyDescent="0.25">
      <c r="H23" s="2">
        <v>0.80600000000000005</v>
      </c>
      <c r="I23" s="6">
        <f>H23*2^12/68</f>
        <v>48.549647058823531</v>
      </c>
      <c r="J23" s="7"/>
      <c r="K23" t="s">
        <v>9</v>
      </c>
    </row>
  </sheetData>
  <mergeCells count="4">
    <mergeCell ref="C7:J7"/>
    <mergeCell ref="I21:J21"/>
    <mergeCell ref="I22:J22"/>
    <mergeCell ref="I23:J23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输出电压采样矫正</vt:lpstr>
      <vt:lpstr>输入电压采样矫正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2021-08-20T05:35:38Z</dcterms:modified>
</cp:coreProperties>
</file>